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5"/>
  <workbookPr/>
  <mc:AlternateContent xmlns:mc="http://schemas.openxmlformats.org/markup-compatibility/2006">
    <mc:Choice Requires="x15">
      <x15ac:absPath xmlns:x15ac="http://schemas.microsoft.com/office/spreadsheetml/2010/11/ac" url="C:\Users\JED BEN JDIDIA\AppData\Local\Microsoft\Windows\INetCache\Content.Outlook\WX5LUS1B\"/>
    </mc:Choice>
  </mc:AlternateContent>
  <xr:revisionPtr revIDLastSave="0" documentId="13_ncr:1_{1D82DBCB-64F0-4839-B1FE-7137BC29E23B}" xr6:coauthVersionLast="47" xr6:coauthVersionMax="47" xr10:uidLastSave="{00000000-0000-0000-0000-000000000000}"/>
  <bookViews>
    <workbookView xWindow="-108" yWindow="-108" windowWidth="23256" windowHeight="12456" xr2:uid="{00000000-000D-0000-FFFF-FFFF00000000}"/>
  </bookViews>
  <sheets>
    <sheet name="Matrice" sheetId="1" r:id="rId1"/>
    <sheet name="Évaluation" sheetId="2" r:id="rId2"/>
    <sheet name="Checklist" sheetId="3" r:id="rId3"/>
    <sheet name="Seuils de passage" sheetId="4" r:id="rId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24" i="3" l="1"/>
  <c r="E24" i="3"/>
  <c r="D24" i="3"/>
  <c r="C24" i="3"/>
  <c r="B24" i="3"/>
  <c r="B15" i="2"/>
</calcChain>
</file>

<file path=xl/sharedStrings.xml><?xml version="1.0" encoding="utf-8"?>
<sst xmlns="http://schemas.openxmlformats.org/spreadsheetml/2006/main" count="243" uniqueCount="129">
  <si>
    <t>Compétence</t>
  </si>
  <si>
    <t>Débutant</t>
  </si>
  <si>
    <t>Junior</t>
  </si>
  <si>
    <t>Confirmé</t>
  </si>
  <si>
    <t>Expert</t>
  </si>
  <si>
    <t>1. Préparation (objectif &amp; plan)</t>
  </si>
  <si>
    <t>Objectif simple (1 produit) + message noté</t>
  </si>
  <si>
    <t>Objectif = 1 produit + 1 message + 1 engagement</t>
  </si>
  <si>
    <t>Objectif + plan B (si temps court) + 2 objections anticipées</t>
  </si>
  <si>
    <t>Objectif stratégique (cycle long) + plan multi-visites + priorisation</t>
  </si>
  <si>
    <t>2. Ouverture / Permission (Instant Zéro)</t>
  </si>
  <si>
    <t>Se présente + demande le temps (script)</t>
  </si>
  <si>
    <t>Gère refus/urgence (flash ou replanif)</t>
  </si>
  <si>
    <t>S’adapte au contexte (stress, secrétaire, timing)</t>
  </si>
  <si>
    <t>Crée un climat positif même en situation tendue</t>
  </si>
  <si>
    <t>3. Gestion du temps</t>
  </si>
  <si>
    <t>Tient 1–2 minutes sans se disperser</t>
  </si>
  <si>
    <t>Bascule Flash/Standard selon temps</t>
  </si>
  <si>
    <t>Raccourcit proprement après interruption</t>
  </si>
  <si>
    <t>Optimise le temps : valeur/seconde + mini-plan de suivi</t>
  </si>
  <si>
    <t>4. Sondage (questions)</t>
  </si>
  <si>
    <t>1–2 questions basiques</t>
  </si>
  <si>
    <t>2–4 questions pertinentes + 1 relance</t>
  </si>
  <si>
    <t>Questions structurées (situation → problème → critère)</t>
  </si>
  <si>
    <t>Questions “diagnostic” très ciblées, sans fatiguer le médecin</t>
  </si>
  <si>
    <t>5. Écoute active</t>
  </si>
  <si>
    <t>Laisse parler mais coupe parfois</t>
  </si>
  <si>
    <t>Reformule une fois + silence utile</t>
  </si>
  <si>
    <t>Écoute maîtrisée, relances fines, pas d’interruption</t>
  </si>
  <si>
    <t>Écoute “expert” : capte l’implicite, désamorce tensions</t>
  </si>
  <si>
    <t>6. Synthèse (QARE)</t>
  </si>
  <si>
    <t>Reformulation simple</t>
  </si>
  <si>
    <t>Synthèse claire + validation</t>
  </si>
  <si>
    <t>QARE : reformulation qui réduit objections</t>
  </si>
  <si>
    <t>Synthèse stratégique : verrouille besoin et prépare closing</t>
  </si>
  <si>
    <t>7. Argumentation (structure)</t>
  </si>
  <si>
    <t>1–2 arguments “liste”</t>
  </si>
  <si>
    <t>Besoin → avantages → usage</t>
  </si>
  <si>
    <t>Segmentation profils patients + priorisation</t>
  </si>
  <si>
    <t>Haut niveau : bénéfice, place, limites, usage</t>
  </si>
  <si>
    <t>8. Preuves / crédibilité</t>
  </si>
  <si>
    <t>1 preuve courte, générale</t>
  </si>
  <si>
    <t>1–2 preuves simples (sans excès)</t>
  </si>
  <si>
    <t>1 preuve + 1 chiffre utile + prudence</t>
  </si>
  <si>
    <t>Compare niveaux de preuve + propose partage source</t>
  </si>
  <si>
    <t>9. Gestion objections</t>
  </si>
  <si>
    <t>1 objection fréquente, réponse script</t>
  </si>
  <si>
    <t>2 objections fréquentes via A-C-R-V</t>
  </si>
  <si>
    <t>3 objections variées + différencie types</t>
  </si>
  <si>
    <t>Cas difficiles : objections multiples, recadrage calme</t>
  </si>
  <si>
    <t>10. Adaptation au profil médecin</t>
  </si>
  <si>
    <t>Faible adaptation</t>
  </si>
  <si>
    <t>Début d’adaptation (4 styles/SONCAS basiques)</t>
  </si>
  <si>
    <t>Adaptation fluide + choix des arguments selon profil</t>
  </si>
  <si>
    <t>Adaptation “chirurgicale” + personnalités complexes</t>
  </si>
  <si>
    <t>11. Closing &amp; engagement</t>
  </si>
  <si>
    <t>Micro-engagement standard</t>
  </si>
  <si>
    <t>Détecte 1–2 signaux BIP et conclut</t>
  </si>
  <si>
    <t>Conclut après interruption + engagement mesurable</t>
  </si>
  <si>
    <t>Conclut au moment parfait + cycle long</t>
  </si>
  <si>
    <t>12. CRM / traçabilité</t>
  </si>
  <si>
    <t>Compte rendu minimal</t>
  </si>
  <si>
    <t>CRM structuré + action suivante</t>
  </si>
  <si>
    <t>CRM riche + relance</t>
  </si>
  <si>
    <t>CRM pilotage : actions, alertes, analyse tendances</t>
  </si>
  <si>
    <t>13. Conformité &amp; prudence</t>
  </si>
  <si>
    <t>Évite promesses mais hésite</t>
  </si>
  <si>
    <t>Sait dire “je vérifie”</t>
  </si>
  <si>
    <t>Zéro invention, cadre clair</t>
  </si>
  <si>
    <t>Très strict : limites, sécurité, renvoi sources</t>
  </si>
  <si>
    <t>14. Résilience terrain</t>
  </si>
  <si>
    <t>Perturbé par interruption</t>
  </si>
  <si>
    <t>Se reprend après perturbation</t>
  </si>
  <si>
    <t>Gère interruptions, médecin froid, pression</t>
  </si>
  <si>
    <t>Retourne situations difficiles, maintient relation</t>
  </si>
  <si>
    <t>Évaluation / Calcul automatique du niveau (ALIA)</t>
  </si>
  <si>
    <t>Indicateur</t>
  </si>
  <si>
    <t>Valeur</t>
  </si>
  <si>
    <t>Unité / Format</t>
  </si>
  <si>
    <t>Seuil Junior</t>
  </si>
  <si>
    <t>Seuil Confirmé</t>
  </si>
  <si>
    <t>Seuil Expert</t>
  </si>
  <si>
    <t>KPI OK ?</t>
  </si>
  <si>
    <t>Score global moyen</t>
  </si>
  <si>
    <t>0–10</t>
  </si>
  <si>
    <t>☐</t>
  </si>
  <si>
    <t>% structure 6 étapes OK</t>
  </si>
  <si>
    <t>0–1 (ex: 0,80)</t>
  </si>
  <si>
    <t>% visites avec engagement</t>
  </si>
  <si>
    <t>0–1 (ex: 0,60)</t>
  </si>
  <si>
    <t>Erreurs de conformité (nb)</t>
  </si>
  <si>
    <t>nombre (doit être 0)</t>
  </si>
  <si>
    <t>% objections A-C-R-V validées</t>
  </si>
  <si>
    <t>0–1</t>
  </si>
  <si>
    <t>% adaptation profil médecin</t>
  </si>
  <si>
    <t>% CRM complet + prochaine action</t>
  </si>
  <si>
    <t>% réussite visites difficiles</t>
  </si>
  <si>
    <t>% cycle long (test→retour→ajust.)</t>
  </si>
  <si>
    <t>% langage “clean” (sans surpromesse)</t>
  </si>
  <si>
    <t>Niveau calculé automatiquement :</t>
  </si>
  <si>
    <t>Conseil : renseignez les valeurs en colonne B (format 0–1 pour les pourcentages).</t>
  </si>
  <si>
    <t>Checklist de simulation (à cocher)</t>
  </si>
  <si>
    <t>Simulation #</t>
  </si>
  <si>
    <t>Ouverture OK</t>
  </si>
  <si>
    <t>Sondage OK</t>
  </si>
  <si>
    <t>Objections OK</t>
  </si>
  <si>
    <t>Closing OK</t>
  </si>
  <si>
    <t>CRM OK</t>
  </si>
  <si>
    <t>Taux OK (%)</t>
  </si>
  <si>
    <t>Seuils de passage (règles simples et mesurables)</t>
  </si>
  <si>
    <t>Passage Débutant → Junior</t>
  </si>
  <si>
    <r>
      <t xml:space="preserve">Score grille globale </t>
    </r>
    <r>
      <rPr>
        <b/>
        <sz val="11"/>
        <color theme="1"/>
        <rFont val="Calibri"/>
        <family val="2"/>
        <scheme val="minor"/>
      </rPr>
      <t>≥ 7/10</t>
    </r>
    <r>
      <rPr>
        <sz val="11"/>
        <color theme="1"/>
        <rFont val="Calibri"/>
        <family val="2"/>
        <scheme val="minor"/>
      </rPr>
      <t xml:space="preserve"> sur 5 simulations</t>
    </r>
  </si>
  <si>
    <r>
      <t>Permission + structure 6 étapes</t>
    </r>
    <r>
      <rPr>
        <sz val="11"/>
        <color theme="1"/>
        <rFont val="Calibri"/>
        <family val="2"/>
        <scheme val="minor"/>
      </rPr>
      <t xml:space="preserve"> OK dans </t>
    </r>
    <r>
      <rPr>
        <b/>
        <sz val="11"/>
        <color theme="1"/>
        <rFont val="Calibri"/>
        <family val="2"/>
        <scheme val="minor"/>
      </rPr>
      <t>≥ 80%</t>
    </r>
  </si>
  <si>
    <r>
      <t>≥ 60%</t>
    </r>
    <r>
      <rPr>
        <sz val="11"/>
        <color theme="1"/>
        <rFont val="Calibri"/>
        <family val="2"/>
        <scheme val="minor"/>
      </rPr>
      <t xml:space="preserve"> des visites avec </t>
    </r>
    <r>
      <rPr>
        <b/>
        <sz val="11"/>
        <color theme="1"/>
        <rFont val="Calibri"/>
        <family val="2"/>
        <scheme val="minor"/>
      </rPr>
      <t>micro-engagement</t>
    </r>
    <r>
      <rPr>
        <sz val="11"/>
        <color theme="1"/>
        <rFont val="Calibri"/>
        <family val="2"/>
        <scheme val="minor"/>
      </rPr>
      <t xml:space="preserve"> obtenu</t>
    </r>
  </si>
  <si>
    <r>
      <t>0 erreur</t>
    </r>
    <r>
      <rPr>
        <sz val="11"/>
        <color theme="1"/>
        <rFont val="Calibri"/>
        <family val="2"/>
        <scheme val="minor"/>
      </rPr>
      <t xml:space="preserve"> de conformité (données inventées / promesse absolue)</t>
    </r>
  </si>
  <si>
    <t>Passage Junior → Confirmé</t>
  </si>
  <si>
    <r>
      <t xml:space="preserve">Score global </t>
    </r>
    <r>
      <rPr>
        <b/>
        <sz val="11"/>
        <color theme="1"/>
        <rFont val="Calibri"/>
        <family val="2"/>
        <scheme val="minor"/>
      </rPr>
      <t>≥ 8/10</t>
    </r>
    <r>
      <rPr>
        <sz val="11"/>
        <color theme="1"/>
        <rFont val="Calibri"/>
        <family val="2"/>
        <scheme val="minor"/>
      </rPr>
      <t xml:space="preserve"> sur 10 simulations</t>
    </r>
  </si>
  <si>
    <r>
      <t>Objections</t>
    </r>
    <r>
      <rPr>
        <sz val="11"/>
        <color theme="1"/>
        <rFont val="Calibri"/>
        <family val="2"/>
        <scheme val="minor"/>
      </rPr>
      <t xml:space="preserve"> traitées A-C-R-V avec validation </t>
    </r>
    <r>
      <rPr>
        <b/>
        <sz val="11"/>
        <color theme="1"/>
        <rFont val="Calibri"/>
        <family val="2"/>
        <scheme val="minor"/>
      </rPr>
      <t>≥ 70%</t>
    </r>
  </si>
  <si>
    <r>
      <t xml:space="preserve">Adaptation profil médecin correcte </t>
    </r>
    <r>
      <rPr>
        <b/>
        <sz val="11"/>
        <color theme="1"/>
        <rFont val="Calibri"/>
        <family val="2"/>
        <scheme val="minor"/>
      </rPr>
      <t>≥ 60%</t>
    </r>
  </si>
  <si>
    <r>
      <t xml:space="preserve">CRM complet + prochaine action </t>
    </r>
    <r>
      <rPr>
        <b/>
        <sz val="11"/>
        <color theme="1"/>
        <rFont val="Calibri"/>
        <family val="2"/>
        <scheme val="minor"/>
      </rPr>
      <t>≥ 80%</t>
    </r>
  </si>
  <si>
    <t>Passage Confirmé → Expert</t>
  </si>
  <si>
    <r>
      <t xml:space="preserve">Score global </t>
    </r>
    <r>
      <rPr>
        <b/>
        <sz val="11"/>
        <color theme="1"/>
        <rFont val="Calibri"/>
        <family val="2"/>
        <scheme val="minor"/>
      </rPr>
      <t>≥ 9/10</t>
    </r>
    <r>
      <rPr>
        <sz val="11"/>
        <color theme="1"/>
        <rFont val="Calibri"/>
        <family val="2"/>
        <scheme val="minor"/>
      </rPr>
      <t xml:space="preserve"> sur 10 simulations difficiles</t>
    </r>
  </si>
  <si>
    <r>
      <t xml:space="preserve">Réussite “visites difficiles” (hostile/interruption/objections multiples) </t>
    </r>
    <r>
      <rPr>
        <b/>
        <sz val="11"/>
        <color theme="1"/>
        <rFont val="Calibri"/>
        <family val="2"/>
        <scheme val="minor"/>
      </rPr>
      <t>≥ 70%</t>
    </r>
  </si>
  <si>
    <r>
      <t xml:space="preserve">Cycle long : test → retour → ajustement réalisé </t>
    </r>
    <r>
      <rPr>
        <b/>
        <sz val="11"/>
        <color theme="1"/>
        <rFont val="Calibri"/>
        <family val="2"/>
        <scheme val="minor"/>
      </rPr>
      <t>≥ 60%</t>
    </r>
  </si>
  <si>
    <r>
      <t xml:space="preserve">Zéro surpromesse, langage “clean” </t>
    </r>
    <r>
      <rPr>
        <b/>
        <sz val="11"/>
        <color theme="1"/>
        <rFont val="Calibri"/>
        <family val="2"/>
        <scheme val="minor"/>
      </rPr>
      <t>≥ 95%</t>
    </r>
  </si>
  <si>
    <t>Format “check rapide” (pour manager / scoring)</t>
  </si>
  <si>
    <r>
      <t>Vert</t>
    </r>
    <r>
      <rPr>
        <sz val="11"/>
        <color theme="1"/>
        <rFont val="Calibri"/>
        <family val="2"/>
        <scheme val="minor"/>
      </rPr>
      <t xml:space="preserve"> : atteint le niveau</t>
    </r>
  </si>
  <si>
    <r>
      <t>Orange</t>
    </r>
    <r>
      <rPr>
        <sz val="11"/>
        <color theme="1"/>
        <rFont val="Calibri"/>
        <family val="2"/>
        <scheme val="minor"/>
      </rPr>
      <t xml:space="preserve"> : encore instable (à renforcer)</t>
    </r>
  </si>
  <si>
    <r>
      <t>Rouge</t>
    </r>
    <r>
      <rPr>
        <sz val="11"/>
        <color theme="1"/>
        <rFont val="Calibri"/>
        <family val="2"/>
        <scheme val="minor"/>
      </rPr>
      <t xml:space="preserve"> : non acquis (bloquant)</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</si>
</sst>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font>
      <sz val="11"/>
      <color theme="1"/>
      <name val="Calibri"/>
      <family val="2"/>
      <scheme val="minor"/>
    </font>
    <font>
      <b/>
      <sz val="11"/>
      <color rgb="FFFFFFFF"/>
      <name val="Calibri"/>
    </font>
    <font>
      <b/>
      <sz val="14"/>
      <name val="Calibri"/>
    </font>
    <font>
      <b/>
      <sz val="11"/>
      <name val="Calibri"/>
    </font>
    <font>
      <b/>
      <sz val="11"/>
      <color rgb="FF1F4E79"/>
      <name val="Calibri"/>
    </font>
    <font>
      <b/>
      <sz val="11"/>
      <color theme="1"/>
      <name val="Calibri"/>
      <family val="2"/>
      <scheme val="minor"/>
    </font>
    <font>
      <b/>
      <sz val="18"/>
      <color theme="1"/>
      <name val="Calibri"/>
      <family val="2"/>
      <scheme val="minor"/>
    </font>
    <font>
      <b/>
      <sz val="13.5"/>
      <color theme="1"/>
      <name val="Calibri"/>
      <family val="2"/>
      <scheme val="minor"/>
    </font>
  </fonts>
  <fills count="4">
    <fill>
      <patternFill patternType="none"/>
    </fill>
    <fill>
      <patternFill patternType="gray125"/>
    </fill>
    <fill>
      <patternFill patternType="solid">
        <fgColor rgb="FF1F4E79"/>
      </patternFill>
    </fill>
    <fill>
      <patternFill patternType="solid">
        <fgColor rgb="FFD9E1F2"/>
      </patternFill>
    </fill>
  </fills>
  <borders count="2">
    <border>
      <left/>
      <right/>
      <top/>
      <bottom/>
      <diagonal/>
    </border>
    <border>
      <left style="thin">
        <color rgb="FF9E9E9E"/>
      </left>
      <right style="thin">
        <color rgb="FF9E9E9E"/>
      </right>
      <top style="thin">
        <color rgb="FF9E9E9E"/>
      </top>
      <bottom style="thin">
        <color rgb="FF9E9E9E"/>
      </bottom>
      <diagonal/>
    </border>
  </borders>
  <cellStyleXfs count="1">
    <xf numFmtId="0" fontId="0" fillId="0" borderId="0"/>
  </cellStyleXfs>
  <cellXfs count="16">
    <xf numFmtId="0" fontId="0" fillId="0" borderId="0" xfId="0"/>
    <xf numFmtId="0" fontId="1" fillId="2" borderId="1" xfId="0" applyFont="1" applyFill="1" applyBorder="1" applyAlignment="1">
      <alignment horizontal="center" vertical="center" wrapText="1"/>
    </xf>
    <xf numFmtId="0" fontId="0" fillId="0" borderId="1" xfId="0" applyBorder="1" applyAlignment="1">
      <alignment horizontal="left" vertical="top" wrapText="1"/>
    </xf>
    <xf numFmtId="0" fontId="0" fillId="0" borderId="1" xfId="0" applyBorder="1" applyAlignment="1">
      <alignment vertical="top" wrapText="1"/>
    </xf>
    <xf numFmtId="0" fontId="0" fillId="0" borderId="1" xfId="0" applyBorder="1" applyAlignment="1">
      <alignment horizontal="center" vertical="center" wrapText="1"/>
    </xf>
    <xf numFmtId="0" fontId="3" fillId="0" borderId="0" xfId="0" applyFont="1" applyAlignment="1">
      <alignment horizontal="left" vertical="top" wrapText="1"/>
    </xf>
    <xf numFmtId="0" fontId="4" fillId="3" borderId="1" xfId="0" applyFont="1" applyFill="1" applyBorder="1" applyAlignment="1">
      <alignment horizontal="center" vertical="center" wrapText="1"/>
    </xf>
    <xf numFmtId="0" fontId="3" fillId="0" borderId="1" xfId="0" applyFont="1" applyBorder="1" applyAlignment="1">
      <alignment horizontal="left" vertical="top" wrapText="1"/>
    </xf>
    <xf numFmtId="9" fontId="0" fillId="0" borderId="1" xfId="0" applyNumberFormat="1" applyBorder="1" applyAlignment="1">
      <alignment horizontal="center" vertical="center" wrapText="1"/>
    </xf>
    <xf numFmtId="0" fontId="6" fillId="0" borderId="0" xfId="0" applyFont="1" applyAlignment="1">
      <alignment vertical="center"/>
    </xf>
    <xf numFmtId="0" fontId="7" fillId="0" borderId="0" xfId="0" applyFont="1" applyAlignment="1">
      <alignment vertical="center"/>
    </xf>
    <xf numFmtId="0" fontId="0" fillId="0" borderId="0" xfId="0" applyAlignment="1">
      <alignment horizontal="left" vertical="center" indent="1"/>
    </xf>
    <xf numFmtId="0" fontId="5" fillId="0" borderId="0" xfId="0" applyFont="1" applyAlignment="1">
      <alignment horizontal="left" vertical="center" indent="1"/>
    </xf>
    <xf numFmtId="0" fontId="0" fillId="0" borderId="0" xfId="0" applyAlignment="1">
      <alignment horizontal="left" vertical="top" wrapText="1"/>
    </xf>
    <xf numFmtId="0" fontId="2" fillId="0" borderId="0" xfId="0" applyFont="1" applyAlignment="1"/>
    <xf numFmtId="0" fontId="0" fillId="0" borderId="0" xfId="0" applyAlignment="1"/>
  </cellXfs>
  <cellStyles count="1">
    <cellStyle name="Normal" xfId="0" builtinId="0"/>
  </cellStyles>
  <dxfs count="5">
    <dxf>
      <fill>
        <patternFill patternType="solid">
          <fgColor rgb="FFFFC7CE"/>
        </patternFill>
      </fill>
    </dxf>
    <dxf>
      <fill>
        <patternFill patternType="solid">
          <fgColor rgb="FFC6EFCE"/>
        </patternFill>
      </fill>
    </dxf>
    <dxf>
      <fill>
        <patternFill patternType="solid">
          <fgColor rgb="FFFFC7CE"/>
        </patternFill>
      </fill>
    </dxf>
    <dxf>
      <fill>
        <patternFill patternType="solid">
          <fgColor rgb="FFC6EFCE"/>
        </patternFill>
      </fill>
    </dxf>
    <dxf>
      <fill>
        <patternFill patternType="solid">
          <fgColor rgb="FFC6EF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5"/>
  <sheetViews>
    <sheetView tabSelected="1" workbookViewId="0">
      <pane ySplit="1" topLeftCell="A2" activePane="bottomLeft" state="frozen"/>
      <selection pane="bottomLeft"/>
    </sheetView>
  </sheetViews>
  <sheetFormatPr defaultColWidth="8.85546875" defaultRowHeight="14.45"/>
  <cols>
    <col min="1" max="5" width="34" customWidth="1"/>
  </cols>
  <sheetData>
    <row r="1" spans="1:5">
      <c r="A1" s="1" t="s">
        <v>0</v>
      </c>
      <c r="B1" s="1" t="s">
        <v>1</v>
      </c>
      <c r="C1" s="1" t="s">
        <v>2</v>
      </c>
      <c r="D1" s="1" t="s">
        <v>3</v>
      </c>
      <c r="E1" s="1" t="s">
        <v>4</v>
      </c>
    </row>
    <row r="2" spans="1:5" ht="28.9">
      <c r="A2" s="2" t="s">
        <v>5</v>
      </c>
      <c r="B2" s="3" t="s">
        <v>6</v>
      </c>
      <c r="C2" s="3" t="s">
        <v>7</v>
      </c>
      <c r="D2" s="3" t="s">
        <v>8</v>
      </c>
      <c r="E2" s="3" t="s">
        <v>9</v>
      </c>
    </row>
    <row r="3" spans="1:5" ht="28.9">
      <c r="A3" s="2" t="s">
        <v>10</v>
      </c>
      <c r="B3" s="3" t="s">
        <v>11</v>
      </c>
      <c r="C3" s="3" t="s">
        <v>12</v>
      </c>
      <c r="D3" s="3" t="s">
        <v>13</v>
      </c>
      <c r="E3" s="3" t="s">
        <v>14</v>
      </c>
    </row>
    <row r="4" spans="1:5" ht="28.9">
      <c r="A4" s="2" t="s">
        <v>15</v>
      </c>
      <c r="B4" s="3" t="s">
        <v>16</v>
      </c>
      <c r="C4" s="3" t="s">
        <v>17</v>
      </c>
      <c r="D4" s="3" t="s">
        <v>18</v>
      </c>
      <c r="E4" s="3" t="s">
        <v>19</v>
      </c>
    </row>
    <row r="5" spans="1:5" ht="28.9">
      <c r="A5" s="2" t="s">
        <v>20</v>
      </c>
      <c r="B5" s="3" t="s">
        <v>21</v>
      </c>
      <c r="C5" s="3" t="s">
        <v>22</v>
      </c>
      <c r="D5" s="3" t="s">
        <v>23</v>
      </c>
      <c r="E5" s="3" t="s">
        <v>24</v>
      </c>
    </row>
    <row r="6" spans="1:5" ht="28.9">
      <c r="A6" s="2" t="s">
        <v>25</v>
      </c>
      <c r="B6" s="3" t="s">
        <v>26</v>
      </c>
      <c r="C6" s="3" t="s">
        <v>27</v>
      </c>
      <c r="D6" s="3" t="s">
        <v>28</v>
      </c>
      <c r="E6" s="3" t="s">
        <v>29</v>
      </c>
    </row>
    <row r="7" spans="1:5" ht="28.9">
      <c r="A7" s="2" t="s">
        <v>30</v>
      </c>
      <c r="B7" s="3" t="s">
        <v>31</v>
      </c>
      <c r="C7" s="3" t="s">
        <v>32</v>
      </c>
      <c r="D7" s="3" t="s">
        <v>33</v>
      </c>
      <c r="E7" s="3" t="s">
        <v>34</v>
      </c>
    </row>
    <row r="8" spans="1:5" ht="28.9">
      <c r="A8" s="2" t="s">
        <v>35</v>
      </c>
      <c r="B8" s="3" t="s">
        <v>36</v>
      </c>
      <c r="C8" s="3" t="s">
        <v>37</v>
      </c>
      <c r="D8" s="3" t="s">
        <v>38</v>
      </c>
      <c r="E8" s="3" t="s">
        <v>39</v>
      </c>
    </row>
    <row r="9" spans="1:5" ht="28.9">
      <c r="A9" s="2" t="s">
        <v>40</v>
      </c>
      <c r="B9" s="3" t="s">
        <v>41</v>
      </c>
      <c r="C9" s="3" t="s">
        <v>42</v>
      </c>
      <c r="D9" s="3" t="s">
        <v>43</v>
      </c>
      <c r="E9" s="3" t="s">
        <v>44</v>
      </c>
    </row>
    <row r="10" spans="1:5" ht="28.9">
      <c r="A10" s="2" t="s">
        <v>45</v>
      </c>
      <c r="B10" s="3" t="s">
        <v>46</v>
      </c>
      <c r="C10" s="3" t="s">
        <v>47</v>
      </c>
      <c r="D10" s="3" t="s">
        <v>48</v>
      </c>
      <c r="E10" s="3" t="s">
        <v>49</v>
      </c>
    </row>
    <row r="11" spans="1:5" ht="28.9">
      <c r="A11" s="2" t="s">
        <v>50</v>
      </c>
      <c r="B11" s="3" t="s">
        <v>51</v>
      </c>
      <c r="C11" s="3" t="s">
        <v>52</v>
      </c>
      <c r="D11" s="3" t="s">
        <v>53</v>
      </c>
      <c r="E11" s="3" t="s">
        <v>54</v>
      </c>
    </row>
    <row r="12" spans="1:5" ht="28.9">
      <c r="A12" s="2" t="s">
        <v>55</v>
      </c>
      <c r="B12" s="3" t="s">
        <v>56</v>
      </c>
      <c r="C12" s="3" t="s">
        <v>57</v>
      </c>
      <c r="D12" s="3" t="s">
        <v>58</v>
      </c>
      <c r="E12" s="3" t="s">
        <v>59</v>
      </c>
    </row>
    <row r="13" spans="1:5" ht="28.9">
      <c r="A13" s="2" t="s">
        <v>60</v>
      </c>
      <c r="B13" s="3" t="s">
        <v>61</v>
      </c>
      <c r="C13" s="3" t="s">
        <v>62</v>
      </c>
      <c r="D13" s="3" t="s">
        <v>63</v>
      </c>
      <c r="E13" s="3" t="s">
        <v>64</v>
      </c>
    </row>
    <row r="14" spans="1:5" ht="28.9">
      <c r="A14" s="2" t="s">
        <v>65</v>
      </c>
      <c r="B14" s="3" t="s">
        <v>66</v>
      </c>
      <c r="C14" s="3" t="s">
        <v>67</v>
      </c>
      <c r="D14" s="3" t="s">
        <v>68</v>
      </c>
      <c r="E14" s="3" t="s">
        <v>69</v>
      </c>
    </row>
    <row r="15" spans="1:5" ht="28.9">
      <c r="A15" s="2" t="s">
        <v>70</v>
      </c>
      <c r="B15" s="3" t="s">
        <v>71</v>
      </c>
      <c r="C15" s="3" t="s">
        <v>72</v>
      </c>
      <c r="D15" s="3" t="s">
        <v>73</v>
      </c>
      <c r="E15" s="3" t="s">
        <v>74</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16"/>
  <sheetViews>
    <sheetView workbookViewId="0">
      <pane ySplit="2" topLeftCell="A3" activePane="bottomLeft" state="frozen"/>
      <selection pane="bottomLeft" activeCell="A18" sqref="A18"/>
    </sheetView>
  </sheetViews>
  <sheetFormatPr defaultColWidth="8.85546875" defaultRowHeight="14.45"/>
  <cols>
    <col min="1" max="1" width="42" customWidth="1"/>
    <col min="2" max="2" width="18" customWidth="1"/>
    <col min="3" max="3" width="20" customWidth="1"/>
    <col min="4" max="4" width="16" customWidth="1"/>
    <col min="5" max="5" width="18" customWidth="1"/>
    <col min="6" max="6" width="16" customWidth="1"/>
    <col min="8" max="8" width="12" customWidth="1"/>
  </cols>
  <sheetData>
    <row r="1" spans="1:8" ht="18">
      <c r="A1" s="14" t="s">
        <v>75</v>
      </c>
      <c r="B1" s="15"/>
      <c r="C1" s="15"/>
      <c r="D1" s="15"/>
      <c r="E1" s="15"/>
      <c r="F1" s="15"/>
    </row>
    <row r="2" spans="1:8">
      <c r="A2" s="1" t="s">
        <v>76</v>
      </c>
      <c r="B2" s="1" t="s">
        <v>77</v>
      </c>
      <c r="C2" s="1" t="s">
        <v>78</v>
      </c>
      <c r="D2" s="1" t="s">
        <v>79</v>
      </c>
      <c r="E2" s="1" t="s">
        <v>80</v>
      </c>
      <c r="F2" s="1" t="s">
        <v>81</v>
      </c>
      <c r="H2" s="1" t="s">
        <v>82</v>
      </c>
    </row>
    <row r="3" spans="1:8">
      <c r="A3" s="2" t="s">
        <v>83</v>
      </c>
      <c r="B3" s="4">
        <v>0</v>
      </c>
      <c r="C3" s="4" t="s">
        <v>84</v>
      </c>
      <c r="D3" s="4">
        <v>7</v>
      </c>
      <c r="E3" s="4">
        <v>8</v>
      </c>
      <c r="F3" s="4">
        <v>9</v>
      </c>
      <c r="H3" s="4" t="s">
        <v>85</v>
      </c>
    </row>
    <row r="4" spans="1:8">
      <c r="A4" s="2" t="s">
        <v>86</v>
      </c>
      <c r="B4" s="4">
        <v>0</v>
      </c>
      <c r="C4" s="4" t="s">
        <v>87</v>
      </c>
      <c r="D4" s="4">
        <v>0.8</v>
      </c>
      <c r="E4" s="4"/>
      <c r="F4" s="4"/>
      <c r="H4" s="4" t="s">
        <v>85</v>
      </c>
    </row>
    <row r="5" spans="1:8">
      <c r="A5" s="2" t="s">
        <v>88</v>
      </c>
      <c r="B5" s="4">
        <v>0</v>
      </c>
      <c r="C5" s="4" t="s">
        <v>89</v>
      </c>
      <c r="D5" s="4">
        <v>0.6</v>
      </c>
      <c r="E5" s="4"/>
      <c r="F5" s="4"/>
      <c r="H5" s="4" t="s">
        <v>85</v>
      </c>
    </row>
    <row r="6" spans="1:8">
      <c r="A6" s="2" t="s">
        <v>90</v>
      </c>
      <c r="B6" s="4">
        <v>0</v>
      </c>
      <c r="C6" s="4" t="s">
        <v>91</v>
      </c>
      <c r="D6" s="4">
        <v>0</v>
      </c>
      <c r="E6" s="4">
        <v>0</v>
      </c>
      <c r="F6" s="4">
        <v>0</v>
      </c>
      <c r="H6" s="4" t="s">
        <v>85</v>
      </c>
    </row>
    <row r="7" spans="1:8">
      <c r="A7" s="2" t="s">
        <v>92</v>
      </c>
      <c r="B7" s="4">
        <v>0</v>
      </c>
      <c r="C7" s="4" t="s">
        <v>93</v>
      </c>
      <c r="D7" s="4"/>
      <c r="E7" s="4">
        <v>0.7</v>
      </c>
      <c r="F7" s="4"/>
      <c r="H7" s="4" t="s">
        <v>85</v>
      </c>
    </row>
    <row r="8" spans="1:8">
      <c r="A8" s="2" t="s">
        <v>94</v>
      </c>
      <c r="B8" s="4">
        <v>0</v>
      </c>
      <c r="C8" s="4" t="s">
        <v>93</v>
      </c>
      <c r="D8" s="4"/>
      <c r="E8" s="4">
        <v>0.6</v>
      </c>
      <c r="F8" s="4"/>
      <c r="H8" s="4" t="s">
        <v>85</v>
      </c>
    </row>
    <row r="9" spans="1:8">
      <c r="A9" s="2" t="s">
        <v>95</v>
      </c>
      <c r="B9" s="4">
        <v>0</v>
      </c>
      <c r="C9" s="4" t="s">
        <v>93</v>
      </c>
      <c r="D9" s="4"/>
      <c r="E9" s="4">
        <v>0.8</v>
      </c>
      <c r="F9" s="4"/>
      <c r="H9" s="4" t="s">
        <v>85</v>
      </c>
    </row>
    <row r="10" spans="1:8">
      <c r="A10" s="2" t="s">
        <v>96</v>
      </c>
      <c r="B10" s="4">
        <v>0</v>
      </c>
      <c r="C10" s="4" t="s">
        <v>93</v>
      </c>
      <c r="D10" s="4"/>
      <c r="E10" s="4"/>
      <c r="F10" s="4">
        <v>0.7</v>
      </c>
      <c r="H10" s="4" t="s">
        <v>85</v>
      </c>
    </row>
    <row r="11" spans="1:8">
      <c r="A11" s="2" t="s">
        <v>97</v>
      </c>
      <c r="B11" s="4">
        <v>0</v>
      </c>
      <c r="C11" s="4" t="s">
        <v>93</v>
      </c>
      <c r="D11" s="4"/>
      <c r="E11" s="4"/>
      <c r="F11" s="4">
        <v>0.6</v>
      </c>
      <c r="H11" s="4" t="s">
        <v>85</v>
      </c>
    </row>
    <row r="12" spans="1:8">
      <c r="A12" s="2" t="s">
        <v>98</v>
      </c>
      <c r="B12" s="4">
        <v>0</v>
      </c>
      <c r="C12" s="4" t="s">
        <v>93</v>
      </c>
      <c r="D12" s="4"/>
      <c r="E12" s="4"/>
      <c r="F12" s="4">
        <v>0.95</v>
      </c>
      <c r="H12" s="4" t="s">
        <v>85</v>
      </c>
    </row>
    <row r="15" spans="1:8">
      <c r="A15" s="5" t="s">
        <v>99</v>
      </c>
      <c r="B15" s="6" t="str">
        <f>IF(AND(B3&gt;=9,B6=0,B10&gt;=0.7,B11&gt;=0.6,B12&gt;=0.95),"Expert",IF(AND(B3&gt;=8,B6=0,B7&gt;=0.7,B8&gt;=0.6,B9&gt;=0.8),"Confirmé",IF(AND(B3&gt;=7,B6=0,B4&gt;=0.8,B5&gt;=0.6),"Junior","Débutant")))</f>
        <v>Débutant</v>
      </c>
    </row>
    <row r="16" spans="1:8">
      <c r="A16" s="13" t="s">
        <v>100</v>
      </c>
      <c r="B16" s="15"/>
      <c r="C16" s="15"/>
      <c r="D16" s="15"/>
      <c r="E16" s="15"/>
      <c r="F16" s="15"/>
    </row>
  </sheetData>
  <mergeCells count="2">
    <mergeCell ref="A16:F16"/>
    <mergeCell ref="A1:F1"/>
  </mergeCells>
  <conditionalFormatting sqref="H3:H12">
    <cfRule type="expression" dxfId="4" priority="1">
      <formula>H3="☑"</formula>
    </cfRule>
    <cfRule type="cellIs" dxfId="3" priority="2" operator="equal">
      <formula>"☑"</formula>
    </cfRule>
    <cfRule type="cellIs" dxfId="2" priority="3" operator="equal">
      <formula>"☐"</formula>
    </cfRule>
  </conditionalFormatting>
  <dataValidations count="1">
    <dataValidation type="list" sqref="H3 H4 H5 H6 H7 H8 H9 H10 H11 H12" xr:uid="{00000000-0002-0000-0100-000000000000}">
      <formula1>"☐,☑"</formula1>
    </dataValidation>
  </dataValidation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24"/>
  <sheetViews>
    <sheetView workbookViewId="0">
      <pane ySplit="2" topLeftCell="A3" activePane="bottomLeft" state="frozen"/>
      <selection pane="bottomLeft" sqref="A1:F1"/>
    </sheetView>
  </sheetViews>
  <sheetFormatPr defaultColWidth="8.85546875" defaultRowHeight="14.45"/>
  <cols>
    <col min="1" max="1" width="14" customWidth="1"/>
    <col min="2" max="6" width="16" customWidth="1"/>
  </cols>
  <sheetData>
    <row r="1" spans="1:6" ht="18">
      <c r="A1" s="14" t="s">
        <v>101</v>
      </c>
      <c r="B1" s="15"/>
      <c r="C1" s="15"/>
      <c r="D1" s="15"/>
      <c r="E1" s="15"/>
      <c r="F1" s="15"/>
    </row>
    <row r="2" spans="1:6">
      <c r="A2" s="1" t="s">
        <v>102</v>
      </c>
      <c r="B2" s="1" t="s">
        <v>103</v>
      </c>
      <c r="C2" s="1" t="s">
        <v>104</v>
      </c>
      <c r="D2" s="1" t="s">
        <v>105</v>
      </c>
      <c r="E2" s="1" t="s">
        <v>106</v>
      </c>
      <c r="F2" s="1" t="s">
        <v>107</v>
      </c>
    </row>
    <row r="3" spans="1:6">
      <c r="A3" s="4">
        <v>1</v>
      </c>
      <c r="B3" s="4" t="s">
        <v>85</v>
      </c>
      <c r="C3" s="4" t="s">
        <v>85</v>
      </c>
      <c r="D3" s="4" t="s">
        <v>85</v>
      </c>
      <c r="E3" s="4" t="s">
        <v>85</v>
      </c>
      <c r="F3" s="4" t="s">
        <v>85</v>
      </c>
    </row>
    <row r="4" spans="1:6">
      <c r="A4" s="4">
        <v>2</v>
      </c>
      <c r="B4" s="4" t="s">
        <v>85</v>
      </c>
      <c r="C4" s="4" t="s">
        <v>85</v>
      </c>
      <c r="D4" s="4" t="s">
        <v>85</v>
      </c>
      <c r="E4" s="4" t="s">
        <v>85</v>
      </c>
      <c r="F4" s="4" t="s">
        <v>85</v>
      </c>
    </row>
    <row r="5" spans="1:6">
      <c r="A5" s="4">
        <v>3</v>
      </c>
      <c r="B5" s="4" t="s">
        <v>85</v>
      </c>
      <c r="C5" s="4" t="s">
        <v>85</v>
      </c>
      <c r="D5" s="4" t="s">
        <v>85</v>
      </c>
      <c r="E5" s="4" t="s">
        <v>85</v>
      </c>
      <c r="F5" s="4" t="s">
        <v>85</v>
      </c>
    </row>
    <row r="6" spans="1:6">
      <c r="A6" s="4">
        <v>4</v>
      </c>
      <c r="B6" s="4" t="s">
        <v>85</v>
      </c>
      <c r="C6" s="4" t="s">
        <v>85</v>
      </c>
      <c r="D6" s="4" t="s">
        <v>85</v>
      </c>
      <c r="E6" s="4" t="s">
        <v>85</v>
      </c>
      <c r="F6" s="4" t="s">
        <v>85</v>
      </c>
    </row>
    <row r="7" spans="1:6">
      <c r="A7" s="4">
        <v>5</v>
      </c>
      <c r="B7" s="4" t="s">
        <v>85</v>
      </c>
      <c r="C7" s="4" t="s">
        <v>85</v>
      </c>
      <c r="D7" s="4" t="s">
        <v>85</v>
      </c>
      <c r="E7" s="4" t="s">
        <v>85</v>
      </c>
      <c r="F7" s="4" t="s">
        <v>85</v>
      </c>
    </row>
    <row r="8" spans="1:6">
      <c r="A8" s="4">
        <v>6</v>
      </c>
      <c r="B8" s="4" t="s">
        <v>85</v>
      </c>
      <c r="C8" s="4" t="s">
        <v>85</v>
      </c>
      <c r="D8" s="4" t="s">
        <v>85</v>
      </c>
      <c r="E8" s="4" t="s">
        <v>85</v>
      </c>
      <c r="F8" s="4" t="s">
        <v>85</v>
      </c>
    </row>
    <row r="9" spans="1:6">
      <c r="A9" s="4">
        <v>7</v>
      </c>
      <c r="B9" s="4" t="s">
        <v>85</v>
      </c>
      <c r="C9" s="4" t="s">
        <v>85</v>
      </c>
      <c r="D9" s="4" t="s">
        <v>85</v>
      </c>
      <c r="E9" s="4" t="s">
        <v>85</v>
      </c>
      <c r="F9" s="4" t="s">
        <v>85</v>
      </c>
    </row>
    <row r="10" spans="1:6">
      <c r="A10" s="4">
        <v>8</v>
      </c>
      <c r="B10" s="4" t="s">
        <v>85</v>
      </c>
      <c r="C10" s="4" t="s">
        <v>85</v>
      </c>
      <c r="D10" s="4" t="s">
        <v>85</v>
      </c>
      <c r="E10" s="4" t="s">
        <v>85</v>
      </c>
      <c r="F10" s="4" t="s">
        <v>85</v>
      </c>
    </row>
    <row r="11" spans="1:6">
      <c r="A11" s="4">
        <v>9</v>
      </c>
      <c r="B11" s="4" t="s">
        <v>85</v>
      </c>
      <c r="C11" s="4" t="s">
        <v>85</v>
      </c>
      <c r="D11" s="4" t="s">
        <v>85</v>
      </c>
      <c r="E11" s="4" t="s">
        <v>85</v>
      </c>
      <c r="F11" s="4" t="s">
        <v>85</v>
      </c>
    </row>
    <row r="12" spans="1:6">
      <c r="A12" s="4">
        <v>10</v>
      </c>
      <c r="B12" s="4" t="s">
        <v>85</v>
      </c>
      <c r="C12" s="4" t="s">
        <v>85</v>
      </c>
      <c r="D12" s="4" t="s">
        <v>85</v>
      </c>
      <c r="E12" s="4" t="s">
        <v>85</v>
      </c>
      <c r="F12" s="4" t="s">
        <v>85</v>
      </c>
    </row>
    <row r="13" spans="1:6">
      <c r="A13" s="4">
        <v>11</v>
      </c>
      <c r="B13" s="4" t="s">
        <v>85</v>
      </c>
      <c r="C13" s="4" t="s">
        <v>85</v>
      </c>
      <c r="D13" s="4" t="s">
        <v>85</v>
      </c>
      <c r="E13" s="4" t="s">
        <v>85</v>
      </c>
      <c r="F13" s="4" t="s">
        <v>85</v>
      </c>
    </row>
    <row r="14" spans="1:6">
      <c r="A14" s="4">
        <v>12</v>
      </c>
      <c r="B14" s="4" t="s">
        <v>85</v>
      </c>
      <c r="C14" s="4" t="s">
        <v>85</v>
      </c>
      <c r="D14" s="4" t="s">
        <v>85</v>
      </c>
      <c r="E14" s="4" t="s">
        <v>85</v>
      </c>
      <c r="F14" s="4" t="s">
        <v>85</v>
      </c>
    </row>
    <row r="15" spans="1:6">
      <c r="A15" s="4">
        <v>13</v>
      </c>
      <c r="B15" s="4" t="s">
        <v>85</v>
      </c>
      <c r="C15" s="4" t="s">
        <v>85</v>
      </c>
      <c r="D15" s="4" t="s">
        <v>85</v>
      </c>
      <c r="E15" s="4" t="s">
        <v>85</v>
      </c>
      <c r="F15" s="4" t="s">
        <v>85</v>
      </c>
    </row>
    <row r="16" spans="1:6">
      <c r="A16" s="4">
        <v>14</v>
      </c>
      <c r="B16" s="4" t="s">
        <v>85</v>
      </c>
      <c r="C16" s="4" t="s">
        <v>85</v>
      </c>
      <c r="D16" s="4" t="s">
        <v>85</v>
      </c>
      <c r="E16" s="4" t="s">
        <v>85</v>
      </c>
      <c r="F16" s="4" t="s">
        <v>85</v>
      </c>
    </row>
    <row r="17" spans="1:6">
      <c r="A17" s="4">
        <v>15</v>
      </c>
      <c r="B17" s="4" t="s">
        <v>85</v>
      </c>
      <c r="C17" s="4" t="s">
        <v>85</v>
      </c>
      <c r="D17" s="4" t="s">
        <v>85</v>
      </c>
      <c r="E17" s="4" t="s">
        <v>85</v>
      </c>
      <c r="F17" s="4" t="s">
        <v>85</v>
      </c>
    </row>
    <row r="18" spans="1:6">
      <c r="A18" s="4">
        <v>16</v>
      </c>
      <c r="B18" s="4" t="s">
        <v>85</v>
      </c>
      <c r="C18" s="4" t="s">
        <v>85</v>
      </c>
      <c r="D18" s="4" t="s">
        <v>85</v>
      </c>
      <c r="E18" s="4" t="s">
        <v>85</v>
      </c>
      <c r="F18" s="4" t="s">
        <v>85</v>
      </c>
    </row>
    <row r="19" spans="1:6">
      <c r="A19" s="4">
        <v>17</v>
      </c>
      <c r="B19" s="4" t="s">
        <v>85</v>
      </c>
      <c r="C19" s="4" t="s">
        <v>85</v>
      </c>
      <c r="D19" s="4" t="s">
        <v>85</v>
      </c>
      <c r="E19" s="4" t="s">
        <v>85</v>
      </c>
      <c r="F19" s="4" t="s">
        <v>85</v>
      </c>
    </row>
    <row r="20" spans="1:6">
      <c r="A20" s="4">
        <v>18</v>
      </c>
      <c r="B20" s="4" t="s">
        <v>85</v>
      </c>
      <c r="C20" s="4" t="s">
        <v>85</v>
      </c>
      <c r="D20" s="4" t="s">
        <v>85</v>
      </c>
      <c r="E20" s="4" t="s">
        <v>85</v>
      </c>
      <c r="F20" s="4" t="s">
        <v>85</v>
      </c>
    </row>
    <row r="21" spans="1:6">
      <c r="A21" s="4">
        <v>19</v>
      </c>
      <c r="B21" s="4" t="s">
        <v>85</v>
      </c>
      <c r="C21" s="4" t="s">
        <v>85</v>
      </c>
      <c r="D21" s="4" t="s">
        <v>85</v>
      </c>
      <c r="E21" s="4" t="s">
        <v>85</v>
      </c>
      <c r="F21" s="4" t="s">
        <v>85</v>
      </c>
    </row>
    <row r="22" spans="1:6">
      <c r="A22" s="4">
        <v>20</v>
      </c>
      <c r="B22" s="4" t="s">
        <v>85</v>
      </c>
      <c r="C22" s="4" t="s">
        <v>85</v>
      </c>
      <c r="D22" s="4" t="s">
        <v>85</v>
      </c>
      <c r="E22" s="4" t="s">
        <v>85</v>
      </c>
      <c r="F22" s="4" t="s">
        <v>85</v>
      </c>
    </row>
    <row r="24" spans="1:6">
      <c r="A24" s="7" t="s">
        <v>108</v>
      </c>
      <c r="B24" s="8">
        <f>COUNTIF(B3:B22,"☑")/20</f>
        <v>0</v>
      </c>
      <c r="C24" s="8">
        <f>COUNTIF(C3:C22,"☑")/20</f>
        <v>0</v>
      </c>
      <c r="D24" s="8">
        <f>COUNTIF(D3:D22,"☑")/20</f>
        <v>0</v>
      </c>
      <c r="E24" s="8">
        <f>COUNTIF(E3:E22,"☑")/20</f>
        <v>0</v>
      </c>
      <c r="F24" s="8">
        <f>COUNTIF(F3:F22,"☑")/20</f>
        <v>0</v>
      </c>
    </row>
  </sheetData>
  <mergeCells count="1">
    <mergeCell ref="A1:F1"/>
  </mergeCells>
  <conditionalFormatting sqref="B3:F22">
    <cfRule type="cellIs" dxfId="1" priority="1" operator="equal">
      <formula>"☑"</formula>
    </cfRule>
    <cfRule type="cellIs" dxfId="0" priority="2" operator="equal">
      <formula>"☐"</formula>
    </cfRule>
  </conditionalFormatting>
  <dataValidations count="1">
    <dataValidation type="list" sqref="B3 B4 B5 B6 B7 B8 B9 B10 B11 B12 B13 B14 B15 B16 B17 B18 B19 B20 B21 B22 C3 C4 C5 C6 C7 C8 C9 C10 C11 C12 C13 C14 C15 C16 C17 C18 C19 C20 C21 C22 D3 D4 D5 D6 D7 D8 D9 D10 D11 D12 D13 D14 D15 D16 D17 D18 D19 D20 D21 D22 E3 E4 E5 E6 E7 E8 E9 E10 E11 E12 E13 E14 E15 E16 E17 E18 E19 E20 E21 E22 F3 F4 F5 F6 F7 F8 F9 F10 F11 F12 F13 F14 F15 F16 F17 F18 F19 F20 F21 F22" xr:uid="{00000000-0002-0000-0200-000000000000}">
      <formula1>"☐,☑"</formula1>
    </dataValidation>
  </dataValidation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A5FE5C-EED3-4586-BF77-4EB0E176FB01}">
  <dimension ref="A1:A41"/>
  <sheetViews>
    <sheetView topLeftCell="A9" workbookViewId="0">
      <selection activeCell="A7" sqref="A7"/>
    </sheetView>
  </sheetViews>
  <sheetFormatPr defaultColWidth="11.42578125" defaultRowHeight="14.45"/>
  <cols>
    <col min="1" max="1" width="68.85546875" bestFit="1" customWidth="1"/>
  </cols>
  <sheetData>
    <row r="1" spans="1:1" ht="23.45">
      <c r="A1" s="9" t="s">
        <v>109</v>
      </c>
    </row>
    <row r="3" spans="1:1" ht="18">
      <c r="A3" s="10" t="s">
        <v>110</v>
      </c>
    </row>
    <row r="4" spans="1:1">
      <c r="A4" s="11"/>
    </row>
    <row r="5" spans="1:1">
      <c r="A5" s="11" t="s">
        <v>111</v>
      </c>
    </row>
    <row r="6" spans="1:1">
      <c r="A6" s="11"/>
    </row>
    <row r="7" spans="1:1">
      <c r="A7" s="12" t="s">
        <v>112</v>
      </c>
    </row>
    <row r="8" spans="1:1">
      <c r="A8" s="11"/>
    </row>
    <row r="9" spans="1:1">
      <c r="A9" s="12" t="s">
        <v>113</v>
      </c>
    </row>
    <row r="10" spans="1:1">
      <c r="A10" s="11"/>
    </row>
    <row r="11" spans="1:1">
      <c r="A11" s="12" t="s">
        <v>114</v>
      </c>
    </row>
    <row r="13" spans="1:1" ht="18">
      <c r="A13" s="10" t="s">
        <v>115</v>
      </c>
    </row>
    <row r="14" spans="1:1">
      <c r="A14" s="11"/>
    </row>
    <row r="15" spans="1:1">
      <c r="A15" s="11" t="s">
        <v>116</v>
      </c>
    </row>
    <row r="16" spans="1:1">
      <c r="A16" s="11"/>
    </row>
    <row r="17" spans="1:1">
      <c r="A17" s="12" t="s">
        <v>117</v>
      </c>
    </row>
    <row r="18" spans="1:1">
      <c r="A18" s="11"/>
    </row>
    <row r="19" spans="1:1">
      <c r="A19" s="11" t="s">
        <v>118</v>
      </c>
    </row>
    <row r="20" spans="1:1">
      <c r="A20" s="11"/>
    </row>
    <row r="21" spans="1:1">
      <c r="A21" s="11" t="s">
        <v>119</v>
      </c>
    </row>
    <row r="23" spans="1:1" ht="18">
      <c r="A23" s="10" t="s">
        <v>120</v>
      </c>
    </row>
    <row r="24" spans="1:1">
      <c r="A24" s="11"/>
    </row>
    <row r="25" spans="1:1">
      <c r="A25" s="11" t="s">
        <v>121</v>
      </c>
    </row>
    <row r="26" spans="1:1">
      <c r="A26" s="11"/>
    </row>
    <row r="27" spans="1:1">
      <c r="A27" s="11" t="s">
        <v>122</v>
      </c>
    </row>
    <row r="28" spans="1:1">
      <c r="A28" s="11"/>
    </row>
    <row r="29" spans="1:1">
      <c r="A29" s="11" t="s">
        <v>123</v>
      </c>
    </row>
    <row r="30" spans="1:1">
      <c r="A30" s="11"/>
    </row>
    <row r="31" spans="1:1">
      <c r="A31" s="11" t="s">
        <v>124</v>
      </c>
    </row>
    <row r="35" spans="1:1" ht="23.45">
      <c r="A35" s="9" t="s">
        <v>125</v>
      </c>
    </row>
    <row r="36" spans="1:1">
      <c r="A36" s="11"/>
    </row>
    <row r="37" spans="1:1">
      <c r="A37" s="12" t="s">
        <v>126</v>
      </c>
    </row>
    <row r="38" spans="1:1">
      <c r="A38" s="11"/>
    </row>
    <row r="39" spans="1:1">
      <c r="A39" s="12" t="s">
        <v>127</v>
      </c>
    </row>
    <row r="40" spans="1:1">
      <c r="A40" s="11"/>
    </row>
    <row r="41" spans="1:1">
      <c r="A41" s="12" t="s">
        <v>128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Kenza BOKRI</cp:lastModifiedBy>
  <cp:revision/>
  <dcterms:created xsi:type="dcterms:W3CDTF">2026-03-05T09:55:28Z</dcterms:created>
  <dcterms:modified xsi:type="dcterms:W3CDTF">2026-03-06T21:54:59Z</dcterms:modified>
  <cp:category/>
  <cp:contentStatus/>
</cp:coreProperties>
</file>